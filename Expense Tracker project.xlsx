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ree\OneDrive\Desktop\Excel all\"/>
    </mc:Choice>
  </mc:AlternateContent>
  <bookViews>
    <workbookView xWindow="0" yWindow="0" windowWidth="22992" windowHeight="8664"/>
  </bookViews>
  <sheets>
    <sheet name="Raw Data" sheetId="1" r:id="rId1"/>
    <sheet name="Summary" sheetId="2" r:id="rId2"/>
    <sheet name="Dashboard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2" i="2"/>
  <c r="C13" i="2" l="1"/>
  <c r="C5" i="3" s="1"/>
  <c r="C4" i="2"/>
  <c r="K4" i="3" s="1"/>
  <c r="C3" i="2"/>
  <c r="C5" i="2" s="1"/>
  <c r="C6" i="2"/>
  <c r="C16" i="2"/>
  <c r="C8" i="3" s="1"/>
  <c r="C15" i="2"/>
  <c r="C7" i="3" s="1"/>
  <c r="C14" i="2"/>
  <c r="C6" i="3" s="1"/>
  <c r="C4" i="3"/>
  <c r="C3" i="3"/>
</calcChain>
</file>

<file path=xl/sharedStrings.xml><?xml version="1.0" encoding="utf-8"?>
<sst xmlns="http://schemas.openxmlformats.org/spreadsheetml/2006/main" count="82" uniqueCount="45">
  <si>
    <t>Date</t>
  </si>
  <si>
    <t>Category</t>
  </si>
  <si>
    <t>Description</t>
  </si>
  <si>
    <t>Type</t>
  </si>
  <si>
    <t>Amount</t>
  </si>
  <si>
    <t>Rent</t>
  </si>
  <si>
    <t>Food</t>
  </si>
  <si>
    <t>Expense</t>
  </si>
  <si>
    <t>Salary</t>
  </si>
  <si>
    <t>Monthly Salary</t>
  </si>
  <si>
    <t>Income</t>
  </si>
  <si>
    <t>Groceries</t>
  </si>
  <si>
    <t>14/4/2025</t>
  </si>
  <si>
    <t>16/4/2025</t>
  </si>
  <si>
    <t>18/4/2025</t>
  </si>
  <si>
    <t>20/4/2025</t>
  </si>
  <si>
    <t>22/4/2026</t>
  </si>
  <si>
    <t>25/4/2026</t>
  </si>
  <si>
    <t>28/4/2025</t>
  </si>
  <si>
    <t>Transport</t>
  </si>
  <si>
    <t>Entertainment</t>
  </si>
  <si>
    <t>Shopping</t>
  </si>
  <si>
    <t>Freelance</t>
  </si>
  <si>
    <t>Other</t>
  </si>
  <si>
    <t>April Rent</t>
  </si>
  <si>
    <t>Uber rides</t>
  </si>
  <si>
    <t>Netflix</t>
  </si>
  <si>
    <t>Restaurant</t>
  </si>
  <si>
    <t>Clothes</t>
  </si>
  <si>
    <t>Design project</t>
  </si>
  <si>
    <t>Petrol</t>
  </si>
  <si>
    <t>Swiggy orders</t>
  </si>
  <si>
    <t>Movie Tickets</t>
  </si>
  <si>
    <t>Electronics</t>
  </si>
  <si>
    <t>Medical</t>
  </si>
  <si>
    <t>Bonus</t>
  </si>
  <si>
    <t>Total Income</t>
  </si>
  <si>
    <t>Total Expenses</t>
  </si>
  <si>
    <t>Net Savings</t>
  </si>
  <si>
    <t>Biggest Expense Category</t>
  </si>
  <si>
    <t>Category Breakdown</t>
  </si>
  <si>
    <t>Amount Spent</t>
  </si>
  <si>
    <t>Shoppping</t>
  </si>
  <si>
    <t>Expenses</t>
  </si>
  <si>
    <t>Monthly Budget Tracker -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</si>
</sst>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;@"/>
    <numFmt numFmtId="165" formatCode="[$₹-4009]\ #,##0"/>
    <numFmt numFmtId="166" formatCode="_ [$₹-4009]\ * #,##0_ ;_ [$₹-4009]\ * \-#,##0_ ;_ [$₹-4009]\ * &quot;-&quot;_ ;_ @_ 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4" borderId="1" xfId="0" applyNumberFormat="1" applyFill="1" applyBorder="1" applyAlignment="1">
      <alignment horizontal="left"/>
    </xf>
    <xf numFmtId="0" fontId="2" fillId="0" borderId="1" xfId="0" applyFont="1" applyBorder="1"/>
    <xf numFmtId="0" fontId="3" fillId="3" borderId="8" xfId="0" applyFont="1" applyFill="1" applyBorder="1"/>
    <xf numFmtId="0" fontId="3" fillId="3" borderId="9" xfId="0" applyFont="1" applyFill="1" applyBorder="1"/>
    <xf numFmtId="0" fontId="2" fillId="0" borderId="10" xfId="0" applyFont="1" applyBorder="1"/>
    <xf numFmtId="165" fontId="0" fillId="0" borderId="11" xfId="0" applyNumberFormat="1" applyBorder="1"/>
    <xf numFmtId="0" fontId="2" fillId="0" borderId="12" xfId="0" applyFont="1" applyBorder="1"/>
    <xf numFmtId="165" fontId="0" fillId="0" borderId="13" xfId="0" applyNumberForma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0" borderId="4" xfId="0" applyFont="1" applyBorder="1"/>
    <xf numFmtId="0" fontId="2" fillId="0" borderId="6" xfId="0" applyFont="1" applyBorder="1"/>
    <xf numFmtId="166" fontId="2" fillId="0" borderId="5" xfId="0" applyNumberFormat="1" applyFont="1" applyBorder="1"/>
    <xf numFmtId="166" fontId="2" fillId="0" borderId="7" xfId="0" applyNumberFormat="1" applyFont="1" applyBorder="1"/>
    <xf numFmtId="165" fontId="2" fillId="0" borderId="1" xfId="0" applyNumberFormat="1" applyFont="1" applyBorder="1" applyAlignment="1">
      <alignment horizontal="left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>
          <bgColor theme="5"/>
        </patternFill>
      </fill>
    </dxf>
    <dxf>
      <fill>
        <patternFill>
          <bgColor rgb="FFFF0000"/>
        </patternFill>
      </fill>
    </dxf>
    <dxf>
      <numFmt numFmtId="165" formatCode="[$₹-4009]\ 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mm/dd/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249977111117893"/>
        </patternFill>
      </fill>
      <alignment horizontal="left" vertical="center" textRotation="0" wrapText="0" indent="0" justifyLastLine="0" shrinkToFit="0" readingOrder="0"/>
    </dxf>
    <dxf>
      <fill>
        <patternFill>
          <bgColor rgb="FFFF8989"/>
        </patternFill>
      </fill>
    </dxf>
  </dxfs>
  <tableStyles count="0" defaultTableStyle="TableStyleMedium2" defaultPivotStyle="PivotStyleLight16"/>
  <colors>
    <mruColors>
      <color rgb="FFFF898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 2025 - Expense Breakdown</a:t>
            </a:r>
          </a:p>
        </c:rich>
      </c:tx>
      <c:layout>
        <c:manualLayout>
          <c:xMode val="edge"/>
          <c:yMode val="edge"/>
          <c:x val="0.20566618373820347"/>
          <c:y val="6.4712030872385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328830267346321"/>
          <c:y val="0.29996328912326409"/>
          <c:w val="0.33342339465307347"/>
          <c:h val="0.55440275530117911"/>
        </c:manualLayout>
      </c:layout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1-487B-B133-9D613B9A2D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1-487B-B133-9D613B9A2D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1-487B-B133-9D613B9A2D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1-487B-B133-9D613B9A2D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1-487B-B133-9D613B9A2D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31-487B-B133-9D613B9A2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Dashboard!$B$3:$B$8</c:f>
              <c:strCache>
                <c:ptCount val="6"/>
                <c:pt idx="0">
                  <c:v>Food</c:v>
                </c:pt>
                <c:pt idx="1">
                  <c:v>Rent</c:v>
                </c:pt>
                <c:pt idx="2">
                  <c:v>Transport</c:v>
                </c:pt>
                <c:pt idx="3">
                  <c:v>Entertainment</c:v>
                </c:pt>
                <c:pt idx="4">
                  <c:v>Shoppping</c:v>
                </c:pt>
                <c:pt idx="5">
                  <c:v>Other</c:v>
                </c:pt>
              </c:strCache>
            </c:strRef>
          </c:cat>
          <c:val>
            <c:numRef>
              <c:f>Dashboard!$C$3:$C$8</c:f>
              <c:numCache>
                <c:formatCode>[$₹-4009]\ #,##0</c:formatCode>
                <c:ptCount val="6"/>
                <c:pt idx="0">
                  <c:v>7300</c:v>
                </c:pt>
                <c:pt idx="1">
                  <c:v>12000</c:v>
                </c:pt>
                <c:pt idx="2">
                  <c:v>2300</c:v>
                </c:pt>
                <c:pt idx="3">
                  <c:v>1249</c:v>
                </c:pt>
                <c:pt idx="4">
                  <c:v>7000</c:v>
                </c:pt>
                <c:pt idx="5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8-4E04-BA88-D503EC9E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Expenses - April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Dashboard!$J$3:$J$4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Dashboard!$K$3:$K$4</c:f>
              <c:numCache>
                <c:formatCode>_ [$₹-4009]\ * #,##0_ ;_ [$₹-4009]\ * \-#,##0_ ;_ [$₹-4009]\ * "-"_ ;_ @_ </c:formatCode>
                <c:ptCount val="2"/>
                <c:pt idx="0">
                  <c:v>70000</c:v>
                </c:pt>
                <c:pt idx="1">
                  <c:v>30949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A-4C51-908F-6DB59964E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4677871"/>
        <c:axId val="1674676911"/>
      </c:barChart>
      <c:catAx>
        <c:axId val="167467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76911"/>
        <c:crosses val="autoZero"/>
        <c:auto val="1"/>
        <c:lblAlgn val="ctr"/>
        <c:lblOffset val="100"/>
        <c:noMultiLvlLbl val="0"/>
      </c:catAx>
      <c:valAx>
        <c:axId val="167467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7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116703</xdr:colOff>
      <xdr:row>8</xdr:row>
      <xdr:rowOff>181513</xdr:rowOff>
    </xdr:from>
    <xdr:to>
      <xdr:col>5</xdr:col>
      <xdr:colOff>600178</xdr:colOff>
      <xdr:row>24</xdr:row>
      <xdr:rowOff>70243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33BDD-CCCC-2B8D-DFF2-C9326DBFC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3432</xdr:colOff>
      <xdr:row>6</xdr:row>
      <xdr:rowOff>4805</xdr:rowOff>
    </xdr:from>
    <xdr:to>
      <xdr:col>13</xdr:col>
      <xdr:colOff>525162</xdr:colOff>
      <xdr:row>20</xdr:row>
      <xdr:rowOff>153086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20BC6-49DE-C3F3-2956-4FF75031C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penseTable" displayName="ExpenseTable" ref="A1:E16" totalsRowShown="0" headerRowDxfId="8" dataDxfId="7">
  <autoFilter ref="A1:E16"/>
  <tableColumns count="5">
    <tableColumn id="1" name="Date" dataDxfId="6"/>
    <tableColumn id="2" name="Category" dataDxfId="5"/>
    <tableColumn id="3" name="Description" dataDxfId="4"/>
    <tableColumn id="4" name="Type" dataDxfId="3"/>
    <tableColumn id="5" name="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79" zoomScaleNormal="219" workbookViewId="0">
      <selection activeCell="E3" sqref="E3"/>
    </sheetView>
  </sheetViews>
  <sheetFormatPr defaultRowHeight="13.8"/>
  <cols>
    <col min="1" max="5" width="15.796875" customWidth="1"/>
  </cols>
  <sheetData>
    <row r="1" spans="1:5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45661</v>
      </c>
      <c r="B2" s="4" t="s">
        <v>8</v>
      </c>
      <c r="C2" s="4" t="s">
        <v>9</v>
      </c>
      <c r="D2" s="4" t="s">
        <v>10</v>
      </c>
      <c r="E2" s="5">
        <v>50000</v>
      </c>
    </row>
    <row r="3" spans="1:5">
      <c r="A3" s="3">
        <v>45692</v>
      </c>
      <c r="B3" s="4" t="s">
        <v>6</v>
      </c>
      <c r="C3" s="4" t="s">
        <v>11</v>
      </c>
      <c r="D3" s="4" t="s">
        <v>7</v>
      </c>
      <c r="E3" s="5">
        <v>3000</v>
      </c>
    </row>
    <row r="4" spans="1:5">
      <c r="A4" s="3">
        <v>45720</v>
      </c>
      <c r="B4" s="4" t="s">
        <v>5</v>
      </c>
      <c r="C4" s="4" t="s">
        <v>24</v>
      </c>
      <c r="D4" s="4" t="s">
        <v>7</v>
      </c>
      <c r="E4" s="5">
        <v>12000</v>
      </c>
    </row>
    <row r="5" spans="1:5">
      <c r="A5" s="3">
        <v>45751</v>
      </c>
      <c r="B5" s="4" t="s">
        <v>19</v>
      </c>
      <c r="C5" s="4" t="s">
        <v>25</v>
      </c>
      <c r="D5" s="4" t="s">
        <v>7</v>
      </c>
      <c r="E5" s="5">
        <v>800</v>
      </c>
    </row>
    <row r="6" spans="1:5">
      <c r="A6" s="3">
        <v>45781</v>
      </c>
      <c r="B6" s="4" t="s">
        <v>20</v>
      </c>
      <c r="C6" s="4" t="s">
        <v>26</v>
      </c>
      <c r="D6" s="4" t="s">
        <v>7</v>
      </c>
      <c r="E6" s="5">
        <v>649</v>
      </c>
    </row>
    <row r="7" spans="1:5">
      <c r="A7" s="3">
        <v>45842</v>
      </c>
      <c r="B7" s="4" t="s">
        <v>6</v>
      </c>
      <c r="C7" s="4" t="s">
        <v>27</v>
      </c>
      <c r="D7" s="4" t="s">
        <v>7</v>
      </c>
      <c r="E7" s="5">
        <v>1200</v>
      </c>
    </row>
    <row r="8" spans="1:5">
      <c r="A8" s="3">
        <v>45934</v>
      </c>
      <c r="B8" s="4" t="s">
        <v>21</v>
      </c>
      <c r="C8" s="4" t="s">
        <v>28</v>
      </c>
      <c r="D8" s="4" t="s">
        <v>7</v>
      </c>
      <c r="E8" s="5">
        <v>2500</v>
      </c>
    </row>
    <row r="9" spans="1:5">
      <c r="A9" s="3">
        <v>45995</v>
      </c>
      <c r="B9" s="4" t="s">
        <v>22</v>
      </c>
      <c r="C9" s="4" t="s">
        <v>29</v>
      </c>
      <c r="D9" s="4" t="s">
        <v>10</v>
      </c>
      <c r="E9" s="5">
        <v>15000</v>
      </c>
    </row>
    <row r="10" spans="1:5">
      <c r="A10" s="3" t="s">
        <v>12</v>
      </c>
      <c r="B10" s="4" t="s">
        <v>19</v>
      </c>
      <c r="C10" s="4" t="s">
        <v>30</v>
      </c>
      <c r="D10" s="4" t="s">
        <v>7</v>
      </c>
      <c r="E10" s="5">
        <v>1500</v>
      </c>
    </row>
    <row r="11" spans="1:5">
      <c r="A11" s="3" t="s">
        <v>13</v>
      </c>
      <c r="B11" s="4" t="s">
        <v>6</v>
      </c>
      <c r="C11" s="4" t="s">
        <v>31</v>
      </c>
      <c r="D11" s="4" t="s">
        <v>7</v>
      </c>
      <c r="E11" s="5">
        <v>900</v>
      </c>
    </row>
    <row r="12" spans="1:5">
      <c r="A12" s="3" t="s">
        <v>14</v>
      </c>
      <c r="B12" s="4" t="s">
        <v>20</v>
      </c>
      <c r="C12" s="4" t="s">
        <v>32</v>
      </c>
      <c r="D12" s="4" t="s">
        <v>7</v>
      </c>
      <c r="E12" s="5">
        <v>600</v>
      </c>
    </row>
    <row r="13" spans="1:5">
      <c r="A13" s="3" t="s">
        <v>15</v>
      </c>
      <c r="B13" s="4" t="s">
        <v>21</v>
      </c>
      <c r="C13" s="4" t="s">
        <v>33</v>
      </c>
      <c r="D13" s="4" t="s">
        <v>7</v>
      </c>
      <c r="E13" s="5">
        <v>4500</v>
      </c>
    </row>
    <row r="14" spans="1:5">
      <c r="A14" s="3" t="s">
        <v>16</v>
      </c>
      <c r="B14" s="4" t="s">
        <v>6</v>
      </c>
      <c r="C14" s="4" t="s">
        <v>11</v>
      </c>
      <c r="D14" s="4" t="s">
        <v>7</v>
      </c>
      <c r="E14" s="5">
        <v>2200</v>
      </c>
    </row>
    <row r="15" spans="1:5">
      <c r="A15" s="3" t="s">
        <v>17</v>
      </c>
      <c r="B15" s="4" t="s">
        <v>23</v>
      </c>
      <c r="C15" s="4" t="s">
        <v>34</v>
      </c>
      <c r="D15" s="4" t="s">
        <v>7</v>
      </c>
      <c r="E15" s="5">
        <v>1100</v>
      </c>
    </row>
    <row r="16" spans="1:5">
      <c r="A16" s="3" t="s">
        <v>18</v>
      </c>
      <c r="B16" s="4" t="s">
        <v>8</v>
      </c>
      <c r="C16" s="4" t="s">
        <v>35</v>
      </c>
      <c r="D16" s="4" t="s">
        <v>10</v>
      </c>
      <c r="E16" s="5">
        <v>5000</v>
      </c>
    </row>
  </sheetData>
  <conditionalFormatting sqref="E2:E16">
    <cfRule type="cellIs" dxfId="9" priority="1" operator="greaterThan">
      <formula>2000</formula>
    </cfRule>
  </conditionalFormatting>
  <dataValidations count="2">
    <dataValidation type="list" allowBlank="1" showInputMessage="1" showErrorMessage="1" sqref="D2:D100">
      <formula1>"Income, Expense"</formula1>
    </dataValidation>
    <dataValidation type="list" allowBlank="1" showInputMessage="1" showErrorMessage="1" sqref="B2:B100">
      <formula1>"Food,Rent,Transport,Entertainment,Shopping,Salary,Freelance,Other"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="151" workbookViewId="0">
      <selection activeCell="E10" sqref="E10"/>
    </sheetView>
  </sheetViews>
  <sheetFormatPr defaultRowHeight="13.8"/>
  <cols>
    <col min="1" max="1" width="7.69921875" customWidth="1"/>
    <col min="2" max="2" width="26.796875" customWidth="1"/>
    <col min="3" max="3" width="16.59765625" customWidth="1"/>
  </cols>
  <sheetData>
    <row r="1" spans="1:3" ht="17.399999999999999">
      <c r="A1" s="24" t="s">
        <v>44</v>
      </c>
      <c r="B1" s="24"/>
      <c r="C1" s="24"/>
    </row>
    <row r="3" spans="1:3">
      <c r="B3" s="9" t="s">
        <v>36</v>
      </c>
      <c r="C3" s="7">
        <f>SUMIF('Raw Data'!D:D,"Income",'Raw Data'!E:E)</f>
        <v>70000</v>
      </c>
    </row>
    <row r="4" spans="1:3">
      <c r="B4" s="9" t="s">
        <v>37</v>
      </c>
      <c r="C4" s="7">
        <f>SUMIF('Raw Data'!D:D,"Expense",'Raw Data'!E:E)</f>
        <v>30949</v>
      </c>
    </row>
    <row r="5" spans="1:3">
      <c r="B5" s="9" t="s">
        <v>38</v>
      </c>
      <c r="C5" s="8">
        <f>C3-C4</f>
        <v>39051</v>
      </c>
    </row>
    <row r="6" spans="1:3">
      <c r="B6" s="9" t="s">
        <v>39</v>
      </c>
      <c r="C6" s="6" t="str">
        <f>INDEX('Raw Data'!B:B,MATCH(MAX('Raw Data'!E:E),'Raw Data'!E:E,0))</f>
        <v>Salary</v>
      </c>
    </row>
    <row r="9" spans="1:3" ht="14.4" thickBot="1"/>
    <row r="10" spans="1:3">
      <c r="B10" s="10" t="s">
        <v>40</v>
      </c>
      <c r="C10" s="11" t="s">
        <v>41</v>
      </c>
    </row>
    <row r="11" spans="1:3">
      <c r="B11" s="12" t="s">
        <v>6</v>
      </c>
      <c r="C11" s="13">
        <f>SUMIF('Raw Data'!B:B,"Food",'Raw Data'!E:E)</f>
        <v>7300</v>
      </c>
    </row>
    <row r="12" spans="1:3">
      <c r="B12" s="12" t="s">
        <v>5</v>
      </c>
      <c r="C12" s="13">
        <f>SUMIF('Raw Data'!B:B,"Rent",'Raw Data'!E:E)</f>
        <v>12000</v>
      </c>
    </row>
    <row r="13" spans="1:3">
      <c r="B13" s="12" t="s">
        <v>19</v>
      </c>
      <c r="C13" s="13">
        <f>SUMIF('Raw Data'!B:B,"Transport",'Raw Data'!E:E)</f>
        <v>2300</v>
      </c>
    </row>
    <row r="14" spans="1:3">
      <c r="B14" s="12" t="s">
        <v>20</v>
      </c>
      <c r="C14" s="13">
        <f>SUMIF('Raw Data'!B:B,"Entertainment",'Raw Data'!E:E)</f>
        <v>1249</v>
      </c>
    </row>
    <row r="15" spans="1:3">
      <c r="B15" s="12" t="s">
        <v>21</v>
      </c>
      <c r="C15" s="13">
        <f>SUMIF('Raw Data'!B:B,"Shopping",'Raw Data'!E:E)</f>
        <v>7000</v>
      </c>
    </row>
    <row r="16" spans="1:3" ht="14.4" thickBot="1">
      <c r="B16" s="14" t="s">
        <v>23</v>
      </c>
      <c r="C16" s="15">
        <f>SUMIF('Raw Data'!B:B,"Other",'Raw Data'!E:E)</f>
        <v>1100</v>
      </c>
    </row>
  </sheetData>
  <mergeCells count="1">
    <mergeCell ref="A1:C1"/>
  </mergeCells>
  <conditionalFormatting sqref="C5">
    <cfRule type="cellIs" dxfId="1" priority="2" operator="lessThan">
      <formula>0</formula>
    </cfRule>
  </conditionalFormatting>
  <conditionalFormatting sqref="C11:C16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"/>
  <sheetViews>
    <sheetView zoomScale="102" workbookViewId="0">
      <selection activeCell="K4" sqref="K4"/>
    </sheetView>
  </sheetViews>
  <sheetFormatPr defaultRowHeight="13.8"/>
  <cols>
    <col min="2" max="2" width="15" customWidth="1"/>
    <col min="3" max="3" width="13.796875" customWidth="1"/>
    <col min="9" max="10" width="11.69921875" customWidth="1"/>
  </cols>
  <sheetData>
    <row r="1" spans="2:11" ht="14.4" thickBot="1"/>
    <row r="2" spans="2:11">
      <c r="B2" s="16" t="s">
        <v>1</v>
      </c>
      <c r="C2" s="16" t="s">
        <v>4</v>
      </c>
      <c r="J2" s="17" t="s">
        <v>3</v>
      </c>
      <c r="K2" s="18" t="s">
        <v>4</v>
      </c>
    </row>
    <row r="3" spans="2:11">
      <c r="B3" s="9" t="s">
        <v>6</v>
      </c>
      <c r="C3" s="23">
        <f>Summary!C11</f>
        <v>7300</v>
      </c>
      <c r="J3" s="19" t="s">
        <v>10</v>
      </c>
      <c r="K3" s="21">
        <v>70000</v>
      </c>
    </row>
    <row r="4" spans="2:11" ht="14.4" thickBot="1">
      <c r="B4" s="9" t="s">
        <v>5</v>
      </c>
      <c r="C4" s="23">
        <f>Summary!C12</f>
        <v>12000</v>
      </c>
      <c r="J4" s="20" t="s">
        <v>43</v>
      </c>
      <c r="K4" s="22">
        <f>Summary!C4</f>
        <v>30949</v>
      </c>
    </row>
    <row r="5" spans="2:11">
      <c r="B5" s="9" t="s">
        <v>19</v>
      </c>
      <c r="C5" s="23">
        <f>Summary!C13</f>
        <v>2300</v>
      </c>
    </row>
    <row r="6" spans="2:11">
      <c r="B6" s="9" t="s">
        <v>20</v>
      </c>
      <c r="C6" s="23">
        <f>Summary!C14</f>
        <v>1249</v>
      </c>
    </row>
    <row r="7" spans="2:11">
      <c r="B7" s="9" t="s">
        <v>42</v>
      </c>
      <c r="C7" s="23">
        <f>Summary!C15</f>
        <v>7000</v>
      </c>
    </row>
    <row r="8" spans="2:11">
      <c r="B8" s="9" t="s">
        <v>23</v>
      </c>
      <c r="C8" s="23">
        <f>Summary!C16</f>
        <v>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Bhandari</dc:creator>
  <cp:lastModifiedBy>Shree</cp:lastModifiedBy>
  <dcterms:created xsi:type="dcterms:W3CDTF">2026-04-15T13:25:30Z</dcterms:created>
  <dcterms:modified xsi:type="dcterms:W3CDTF">2026-09-25T10:21:54Z</dcterms:modified>
</cp:coreProperties>
</file>